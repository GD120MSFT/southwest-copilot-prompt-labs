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LoneStar Air — Statement of Operations (unaudited)</t>
        </is>
      </c>
      <c r="B1" t="inlineStr"/>
      <c r="C1" t="inlineStr"/>
    </row>
    <row r="2">
      <c r="A2" t="inlineStr">
        <is>
          <t>USD 000s</t>
        </is>
      </c>
      <c r="B2" t="inlineStr">
        <is>
          <t>Jul 2026</t>
        </is>
      </c>
      <c r="C2" t="inlineStr">
        <is>
          <t>Jun 2026</t>
        </is>
      </c>
    </row>
    <row r="3">
      <c r="A3" t="inlineStr">
        <is>
          <t>Passenger revenue</t>
        </is>
      </c>
      <c r="B3" t="n">
        <v>1884200</v>
      </c>
      <c r="C3" t="n">
        <v>1802950</v>
      </c>
    </row>
    <row r="4">
      <c r="A4" t="inlineStr">
        <is>
          <t>Other revenue</t>
        </is>
      </c>
      <c r="B4" t="n">
        <v>141880</v>
      </c>
      <c r="C4" t="n">
        <v>138400</v>
      </c>
    </row>
    <row r="5">
      <c r="A5" t="inlineStr">
        <is>
          <t>Total revenue</t>
        </is>
      </c>
      <c r="B5">
        <f>B3+B4</f>
        <v/>
      </c>
      <c r="C5">
        <f>C3+C4</f>
        <v/>
      </c>
    </row>
    <row r="6">
      <c r="A6" t="inlineStr">
        <is>
          <t>Operating expense</t>
        </is>
      </c>
      <c r="B6">
        <f>Detail!B22</f>
        <v/>
      </c>
      <c r="C6" t="n">
        <v>1712400</v>
      </c>
    </row>
    <row r="7">
      <c r="A7" t="inlineStr">
        <is>
          <t>Operating income</t>
        </is>
      </c>
      <c r="B7">
        <f>B5-B6</f>
        <v/>
      </c>
      <c r="C7">
        <f>C5-C6</f>
        <v/>
      </c>
    </row>
    <row r="8">
      <c r="A8" t="inlineStr">
        <is>
          <t>Operating margin %</t>
        </is>
      </c>
      <c r="B8">
        <f>B7/B5</f>
        <v/>
      </c>
      <c r="C8">
        <f>C7/C5</f>
        <v/>
      </c>
    </row>
    <row r="10">
      <c r="A10" t="inlineStr">
        <is>
          <t>Cross-check to Detail tab</t>
        </is>
      </c>
      <c r="B10">
        <f>Detail!B22</f>
        <v/>
      </c>
      <c r="C10" t="inlineStr">
        <is>
          <t>should equal Operating expense</t>
        </is>
      </c>
    </row>
    <row r="11">
      <c r="A11" t="inlineStr">
        <is>
          <t>Headcount (hardcoded)</t>
        </is>
      </c>
      <c r="B11" t="n">
        <v>18400</v>
      </c>
      <c r="C11" t="n">
        <v>18250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38" customWidth="1" min="4" max="4"/>
  </cols>
  <sheetData>
    <row r="1">
      <c r="A1" s="1" t="inlineStr">
        <is>
          <t>Account</t>
        </is>
      </c>
      <c r="B1" s="1" t="inlineStr">
        <is>
          <t>Jul 2026</t>
        </is>
      </c>
      <c r="C1" s="1" t="inlineStr">
        <is>
          <t>Jun 2026</t>
        </is>
      </c>
      <c r="D1" s="1" t="inlineStr">
        <is>
          <t>Note</t>
        </is>
      </c>
    </row>
    <row r="2">
      <c r="A2" t="inlineStr">
        <is>
          <t>Salaries &amp; Wages</t>
        </is>
      </c>
      <c r="B2" t="n">
        <v>612400</v>
      </c>
      <c r="C2" t="n">
        <v>601100</v>
      </c>
      <c r="D2" t="inlineStr"/>
    </row>
    <row r="3">
      <c r="A3" t="inlineStr">
        <is>
          <t>Overtime</t>
        </is>
      </c>
      <c r="B3" t="n">
        <v>71900</v>
      </c>
      <c r="C3" t="n">
        <v>54200</v>
      </c>
      <c r="D3" t="inlineStr">
        <is>
          <t>up sharply</t>
        </is>
      </c>
    </row>
    <row r="4">
      <c r="A4" t="inlineStr">
        <is>
          <t>Benefits</t>
        </is>
      </c>
      <c r="B4" t="n">
        <v>188300</v>
      </c>
      <c r="C4" t="n">
        <v>186400</v>
      </c>
      <c r="D4" t="inlineStr"/>
    </row>
    <row r="5">
      <c r="A5" t="inlineStr">
        <is>
          <t>Jet Fuel</t>
        </is>
      </c>
      <c r="B5" t="n">
        <v>402100</v>
      </c>
      <c r="C5" t="n">
        <v>418900</v>
      </c>
      <c r="D5" t="inlineStr"/>
    </row>
    <row r="6">
      <c r="A6" t="inlineStr">
        <is>
          <t>Maintenance</t>
        </is>
      </c>
      <c r="B6" t="n">
        <v>214600</v>
      </c>
      <c r="C6" t="n">
        <v>208300</v>
      </c>
      <c r="D6" t="inlineStr"/>
    </row>
    <row r="7">
      <c r="A7" t="inlineStr">
        <is>
          <t>Airport charges</t>
        </is>
      </c>
      <c r="B7" t="n">
        <v>161400</v>
      </c>
      <c r="C7" t="n">
        <v>158700</v>
      </c>
      <c r="D7" t="inlineStr"/>
    </row>
    <row r="8">
      <c r="A8" t="inlineStr">
        <is>
          <t>Distribution</t>
        </is>
      </c>
      <c r="B8" t="n">
        <v>70200</v>
      </c>
      <c r="C8" t="n">
        <v>68900</v>
      </c>
      <c r="D8" t="inlineStr"/>
    </row>
    <row r="9">
      <c r="A9" t="inlineStr">
        <is>
          <t>Technology</t>
        </is>
      </c>
      <c r="B9" t="n">
        <v>58800</v>
      </c>
      <c r="C9" t="n">
        <v>49100</v>
      </c>
      <c r="D9" t="inlineStr">
        <is>
          <t>cloud migration</t>
        </is>
      </c>
    </row>
    <row r="10">
      <c r="A10" t="inlineStr">
        <is>
          <t>G&amp;A</t>
        </is>
      </c>
      <c r="B10" t="n">
        <v>96500</v>
      </c>
      <c r="C10" t="n">
        <v>91300</v>
      </c>
      <c r="D10" t="inlineStr"/>
    </row>
    <row r="11">
      <c r="A11" t="inlineStr">
        <is>
          <t>Depreciation</t>
        </is>
      </c>
      <c r="B11" t="n">
        <v>112000</v>
      </c>
      <c r="C11" t="n">
        <v>112000</v>
      </c>
      <c r="D11" t="inlineStr"/>
    </row>
    <row r="12"/>
    <row r="13">
      <c r="A13" t="inlineStr">
        <is>
          <t>Subtotal</t>
        </is>
      </c>
      <c r="B13">
        <f>SUM(B2:B11)</f>
        <v/>
      </c>
      <c r="C13">
        <f>SUM(C2:C11)</f>
        <v/>
      </c>
      <c r="D13" t="inlineStr"/>
    </row>
    <row r="14">
      <c r="A14" t="inlineStr">
        <is>
          <t>Prior-year adjustment</t>
        </is>
      </c>
      <c r="B14" t="n">
        <v>4200</v>
      </c>
      <c r="C14" t="n">
        <v>0</v>
      </c>
      <c r="D14" t="inlineStr">
        <is>
          <t>posted manually, no support attached</t>
        </is>
      </c>
    </row>
    <row r="15"/>
    <row r="16">
      <c r="A16" t="inlineStr">
        <is>
          <t>Reclass — see note</t>
        </is>
      </c>
      <c r="B16" t="n">
        <v>-9800</v>
      </c>
      <c r="C16" t="n">
        <v>0</v>
      </c>
      <c r="D16" t="inlineStr">
        <is>
          <t>reverses next month</t>
        </is>
      </c>
    </row>
    <row r="17"/>
    <row r="18"/>
    <row r="19"/>
    <row r="20"/>
    <row r="21"/>
    <row r="22">
      <c r="A22" t="inlineStr">
        <is>
          <t>TOTAL OPERATING EXPENSE</t>
        </is>
      </c>
      <c r="B22">
        <f>B13+B14</f>
        <v/>
      </c>
      <c r="C22">
        <f>C13</f>
        <v/>
      </c>
      <c r="D22" t="inlineStr">
        <is>
          <t>&lt;- Jun formula does not include the adjustment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Note</t>
        </is>
      </c>
      <c r="B1" s="1" t="inlineStr">
        <is>
          <t>Text</t>
        </is>
      </c>
    </row>
    <row r="2">
      <c r="A2" t="inlineStr">
        <is>
          <t>1</t>
        </is>
      </c>
      <c r="B2" t="inlineStr">
        <is>
          <t>Overtime increase of 32.7% relates to the July irregular-operations event.</t>
        </is>
      </c>
    </row>
    <row r="3">
      <c r="A3" t="inlineStr">
        <is>
          <t>2</t>
        </is>
      </c>
      <c r="B3" t="inlineStr">
        <is>
          <t>Technology increase relates to cloud migration; run-rate expected to normalize in Q4.</t>
        </is>
      </c>
    </row>
    <row r="4">
      <c r="A4" t="inlineStr">
        <is>
          <t>3</t>
        </is>
      </c>
      <c r="B4" t="inlineStr">
        <is>
          <t>Operating margin reported to leadership last month was 5.2%. Recompute and confirm.</t>
        </is>
      </c>
    </row>
    <row r="5">
      <c r="A5" t="inlineStr">
        <is>
          <t>4</t>
        </is>
      </c>
      <c r="B5" t="inlineStr">
        <is>
          <t>Depreciation is entered manually each month rather than linked to the asset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2026-08-13T20:18:14Z</dcterms:created>
  <dcterms:modified xmlns:dcterms="http://purl.org/dc/terms/" xmlns:xsi="http://www.w3.org/2001/XMLSchema-instance" xsi:type="dcterms:W3CDTF">2026-08-13T20:18:14Z</dcterms:modified>
</cp:coreProperties>
</file>